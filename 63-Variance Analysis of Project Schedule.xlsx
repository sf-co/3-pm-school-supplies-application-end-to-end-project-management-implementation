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<sst xmlns="http://schemas.openxmlformats.org/spreadsheetml/2006/main" count="137" uniqueCount="132">
  <si>
    <t>WBS ID</t>
  </si>
  <si>
    <t>Task Name</t>
  </si>
  <si>
    <t>Planned Start Date</t>
  </si>
  <si>
    <t>Planned End Date</t>
  </si>
  <si>
    <t>Actual Start Date</t>
  </si>
  <si>
    <t>Actual End Date</t>
  </si>
  <si>
    <t>Planned Duration (Days)</t>
  </si>
  <si>
    <t>Actual Duration (Days)</t>
  </si>
  <si>
    <t>Variance (Days)</t>
  </si>
  <si>
    <t>Cause of Variance</t>
  </si>
  <si>
    <t>Impact on Project</t>
  </si>
  <si>
    <t>Corrective Actions</t>
  </si>
  <si>
    <t>WBS-001</t>
  </si>
  <si>
    <t>User Registration System</t>
  </si>
  <si>
    <t>Delays in integrating social media login feature</t>
  </si>
  <si>
    <t>Minimal impact, minor delay in registration module</t>
  </si>
  <si>
    <t>Added additional resources to expedite other tasks</t>
  </si>
  <si>
    <t>WBS-002</t>
  </si>
  <si>
    <t>Admin Inventory Management</t>
  </si>
  <si>
    <t>Minor adjustments required in inventory alert system</t>
  </si>
  <si>
    <t>Slight shift in inventory module, no major impact</t>
  </si>
  <si>
    <t>Regular meetings to monitor inventory system progress</t>
  </si>
  <si>
    <t>WBS-003</t>
  </si>
  <si>
    <t>Parent Dashboard</t>
  </si>
  <si>
    <t>UI design revisions requested by stakeholders</t>
  </si>
  <si>
    <t>Minimal impact, approved during review</t>
  </si>
  <si>
    <t>Design team provided clearer design expectations</t>
  </si>
  <si>
    <t>WBS-004</t>
  </si>
  <si>
    <t>Secure Payment Integration</t>
  </si>
  <si>
    <t>Extra time needed for security compliance checks</t>
  </si>
  <si>
    <t>Payment functionality delayed by 2 days</t>
  </si>
  <si>
    <t>Reassigned security checks earlier in future tasks</t>
  </si>
  <si>
    <t>WBS-005</t>
  </si>
  <si>
    <t>Product Comparison Tool</t>
  </si>
  <si>
    <t>None</t>
  </si>
  <si>
    <t>WBS-006</t>
  </si>
  <si>
    <t>Order Tracking System</t>
  </si>
  <si>
    <t>Issues with real-time tracking integration</t>
  </si>
  <si>
    <t>Slight impact on user tracking features</t>
  </si>
  <si>
    <t>Conducted additional testing and QA on tracking</t>
  </si>
  <si>
    <t>WBS-007</t>
  </si>
  <si>
    <t>AI-Powered Supply Prediction</t>
  </si>
  <si>
    <t>Additional time required for AI model training</t>
  </si>
  <si>
    <t>Minimal impact, system testing extended by 1 day</t>
  </si>
  <si>
    <t>Revised AI model iteration plan</t>
  </si>
  <si>
    <t>WBS-008</t>
  </si>
  <si>
    <t>Role-Based Access Control</t>
  </si>
  <si>
    <t>Delays in finalizing user roles and permissions</t>
  </si>
  <si>
    <t>No major impact</t>
  </si>
  <si>
    <t>Extended timeline for role testing</t>
  </si>
  <si>
    <t>WBS-009</t>
  </si>
  <si>
    <t>In-App Chat Support</t>
  </si>
  <si>
    <t>WBS-010</t>
  </si>
  <si>
    <t>Bulk Ordering System</t>
  </si>
  <si>
    <t>Integration with bulk discounting delayed</t>
  </si>
  <si>
    <t>Slight delay in bulk ordering module</t>
  </si>
  <si>
    <t>Bulk discounts feature moved to later sprint</t>
  </si>
  <si>
    <t>WBS-011</t>
  </si>
  <si>
    <t>Product Search and Filter</t>
  </si>
  <si>
    <t>Delays in finalizing the filtering algorithm</t>
  </si>
  <si>
    <t>Slight delay in product search system</t>
  </si>
  <si>
    <t>Extended testing phase to refine filter options</t>
  </si>
  <si>
    <t>WBS-012</t>
  </si>
  <si>
    <t>Reports Dashboard (Admin)</t>
  </si>
  <si>
    <t>Additional requirements requested for custom reporting</t>
  </si>
  <si>
    <t>Minor impact, reporting tool deployment delayed</t>
  </si>
  <si>
    <t>Adjusted scope and updated requirements with stakeholders</t>
  </si>
  <si>
    <t>WBS-013</t>
  </si>
  <si>
    <t>Notifications and Alerts</t>
  </si>
  <si>
    <t>Minor delays in setting up push notification logic</t>
  </si>
  <si>
    <t>Minimal impact on overall alert functionality</t>
  </si>
  <si>
    <t>Revised push notification schedule</t>
  </si>
  <si>
    <t>WBS-014</t>
  </si>
  <si>
    <t>Supplier Product Management</t>
  </si>
  <si>
    <t>Slight delay in stock level management feature development</t>
  </si>
  <si>
    <t>Minimal impact, product management slightly delayed</t>
  </si>
  <si>
    <t>Allocated additional resources for faster completion</t>
  </si>
  <si>
    <t>WBS-015</t>
  </si>
  <si>
    <t>Multi-Language Support</t>
  </si>
  <si>
    <t>Localization process took longer than expected</t>
  </si>
  <si>
    <t>Minimal impact, language support delayed by one day</t>
  </si>
  <si>
    <t>Streamlined translation workflows</t>
  </si>
  <si>
    <t>WBS-016</t>
  </si>
  <si>
    <t>Product Wishlist/Favorites</t>
  </si>
  <si>
    <t>Integration with cart system required additional testing</t>
  </si>
  <si>
    <t>Minor impact, wishlist feature launch delayed</t>
  </si>
  <si>
    <t>Added additional QA resources to expedite testing</t>
  </si>
  <si>
    <t>WBS-017</t>
  </si>
  <si>
    <t>Data Encryption for Security</t>
  </si>
  <si>
    <t>Encryption process for sensitive data required extended testing</t>
  </si>
  <si>
    <t>Minimal impact on security measures</t>
  </si>
  <si>
    <t>Allocated more testing resources for future encryption tasks</t>
  </si>
  <si>
    <t>WBS-018</t>
  </si>
  <si>
    <t>Recurring Orders Setup (Parent)</t>
  </si>
  <si>
    <t>Back-end logic for recurring orders required optimization</t>
  </si>
  <si>
    <t>Minor impact on recurring order functionality</t>
  </si>
  <si>
    <t>Optimized back-end processes</t>
  </si>
  <si>
    <t>WBS-019</t>
  </si>
  <si>
    <t>Admin Multi-Location Dashboard</t>
  </si>
  <si>
    <t>Location data tracking system required additional refinements</t>
  </si>
  <si>
    <t>Minimal impact on multi-location management</t>
  </si>
  <si>
    <t>Refined data tracking and added redundancy checks</t>
  </si>
  <si>
    <t>WBS-020</t>
  </si>
  <si>
    <t>Voice-Assisted Search</t>
  </si>
  <si>
    <t>Voice recognition model integration required extra testing</t>
  </si>
  <si>
    <t>Minimal impact, voice search slightly delayed</t>
  </si>
  <si>
    <t>Integrated with ongoing testing workflows</t>
  </si>
  <si>
    <t>WBS-021</t>
  </si>
  <si>
    <t>Automatic Server Scaling</t>
  </si>
  <si>
    <t>Server scaling tests required additional load simulation</t>
  </si>
  <si>
    <t>Minor impact on server performance</t>
  </si>
  <si>
    <t>Extended testing with larger data volumes</t>
  </si>
  <si>
    <t>WBS-022</t>
  </si>
  <si>
    <t>Supplier Performance Evaluation</t>
  </si>
  <si>
    <t>Delays in gathering supplier data for performance evaluation</t>
  </si>
  <si>
    <t>Minimal impact, evaluation tool slightly delayed</t>
  </si>
  <si>
    <t>Improved data collection processes</t>
  </si>
  <si>
    <t>WBS-023</t>
  </si>
  <si>
    <t>Vendor Feedback and Rating System</t>
  </si>
  <si>
    <t>Additional time needed to refine feedback and rating algorithms</t>
  </si>
  <si>
    <t>Minor impact, system feedback delayed</t>
  </si>
  <si>
    <t>Added extra QA and testing resources</t>
  </si>
  <si>
    <t>WBS-024</t>
  </si>
  <si>
    <t>Custom Reporting Tool</t>
  </si>
  <si>
    <t>Custom report generation logic required more refinement</t>
  </si>
  <si>
    <t>Minimal impact, custom reporting tool slightly delayed</t>
  </si>
  <si>
    <t>Focused resources on final testing</t>
  </si>
  <si>
    <t>WBS-025</t>
  </si>
  <si>
    <t>Loyalty Programs for User Retention</t>
  </si>
  <si>
    <t>Integration with rewards system needed further adjustments</t>
  </si>
  <si>
    <t>Minimal impact, loyalty program delay</t>
  </si>
  <si>
    <t>Adjusted integration approach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</si>
</sst>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8.63"/>
    <col customWidth="1" min="3" max="3" width="15.88"/>
    <col customWidth="1" min="4" max="4" width="15.13"/>
    <col customWidth="1" min="5" max="5" width="14.38"/>
    <col customWidth="1" min="6" max="6" width="13.75"/>
    <col customWidth="1" min="7" max="7" width="20.38"/>
    <col customWidth="1" min="8" max="8" width="19.0"/>
    <col customWidth="1" min="9" max="9" width="13.38"/>
    <col customWidth="1" min="10" max="10" width="47.63"/>
    <col customWidth="1" min="11" max="11" width="40.88"/>
    <col customWidth="1" min="12" max="12" width="4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>
        <v>45352.0</v>
      </c>
      <c r="D2" s="3">
        <v>45366.0</v>
      </c>
      <c r="E2" s="3">
        <v>45352.0</v>
      </c>
      <c r="F2" s="3">
        <v>45369.0</v>
      </c>
      <c r="G2" s="2">
        <v>14.0</v>
      </c>
      <c r="H2" s="2">
        <v>17.0</v>
      </c>
      <c r="I2" s="4">
        <f>+3</f>
        <v>3</v>
      </c>
      <c r="J2" s="2" t="s">
        <v>14</v>
      </c>
      <c r="K2" s="2" t="s">
        <v>15</v>
      </c>
      <c r="L2" s="2" t="s">
        <v>16</v>
      </c>
    </row>
    <row r="3">
      <c r="A3" s="2" t="s">
        <v>17</v>
      </c>
      <c r="B3" s="2" t="s">
        <v>18</v>
      </c>
      <c r="C3" s="3">
        <v>45367.0</v>
      </c>
      <c r="D3" s="3">
        <v>45387.0</v>
      </c>
      <c r="E3" s="3">
        <v>45367.0</v>
      </c>
      <c r="F3" s="3">
        <v>45389.0</v>
      </c>
      <c r="G3" s="2">
        <v>20.0</v>
      </c>
      <c r="H3" s="2">
        <v>22.0</v>
      </c>
      <c r="I3" s="4">
        <f>+2</f>
        <v>2</v>
      </c>
      <c r="J3" s="2" t="s">
        <v>19</v>
      </c>
      <c r="K3" s="2" t="s">
        <v>20</v>
      </c>
      <c r="L3" s="2" t="s">
        <v>21</v>
      </c>
    </row>
    <row r="4">
      <c r="A4" s="2" t="s">
        <v>22</v>
      </c>
      <c r="B4" s="2" t="s">
        <v>23</v>
      </c>
      <c r="C4" s="3">
        <v>45367.0</v>
      </c>
      <c r="D4" s="3">
        <v>45382.0</v>
      </c>
      <c r="E4" s="3">
        <v>45368.0</v>
      </c>
      <c r="F4" s="3">
        <v>45384.0</v>
      </c>
      <c r="G4" s="2">
        <v>15.0</v>
      </c>
      <c r="H4" s="2">
        <v>16.0</v>
      </c>
      <c r="I4" s="4">
        <f>+1</f>
        <v>1</v>
      </c>
      <c r="J4" s="2" t="s">
        <v>24</v>
      </c>
      <c r="K4" s="2" t="s">
        <v>25</v>
      </c>
      <c r="L4" s="2" t="s">
        <v>26</v>
      </c>
    </row>
    <row r="5">
      <c r="A5" s="2" t="s">
        <v>27</v>
      </c>
      <c r="B5" s="2" t="s">
        <v>28</v>
      </c>
      <c r="C5" s="3">
        <v>45383.0</v>
      </c>
      <c r="D5" s="3">
        <v>45395.0</v>
      </c>
      <c r="E5" s="3">
        <v>45383.0</v>
      </c>
      <c r="F5" s="3">
        <v>45397.0</v>
      </c>
      <c r="G5" s="2">
        <v>12.0</v>
      </c>
      <c r="H5" s="2">
        <v>14.0</v>
      </c>
      <c r="I5" s="4">
        <f>+2</f>
        <v>2</v>
      </c>
      <c r="J5" s="2" t="s">
        <v>29</v>
      </c>
      <c r="K5" s="2" t="s">
        <v>30</v>
      </c>
      <c r="L5" s="2" t="s">
        <v>31</v>
      </c>
    </row>
    <row r="6">
      <c r="A6" s="2" t="s">
        <v>32</v>
      </c>
      <c r="B6" s="2" t="s">
        <v>33</v>
      </c>
      <c r="C6" s="3">
        <v>45388.0</v>
      </c>
      <c r="D6" s="3">
        <v>45398.0</v>
      </c>
      <c r="E6" s="3">
        <v>45388.0</v>
      </c>
      <c r="F6" s="3">
        <v>45398.0</v>
      </c>
      <c r="G6" s="2">
        <v>10.0</v>
      </c>
      <c r="H6" s="2">
        <v>10.0</v>
      </c>
      <c r="I6" s="2">
        <v>0.0</v>
      </c>
      <c r="J6" s="2" t="s">
        <v>34</v>
      </c>
      <c r="K6" s="2" t="s">
        <v>34</v>
      </c>
      <c r="L6" s="2" t="s">
        <v>34</v>
      </c>
    </row>
    <row r="7">
      <c r="A7" s="2" t="s">
        <v>35</v>
      </c>
      <c r="B7" s="2" t="s">
        <v>36</v>
      </c>
      <c r="C7" s="3">
        <v>45368.0</v>
      </c>
      <c r="D7" s="3">
        <v>45382.0</v>
      </c>
      <c r="E7" s="3">
        <v>45368.0</v>
      </c>
      <c r="F7" s="3">
        <v>45383.0</v>
      </c>
      <c r="G7" s="2">
        <v>14.0</v>
      </c>
      <c r="H7" s="2">
        <v>16.0</v>
      </c>
      <c r="I7" s="4">
        <f>+2</f>
        <v>2</v>
      </c>
      <c r="J7" s="2" t="s">
        <v>37</v>
      </c>
      <c r="K7" s="2" t="s">
        <v>38</v>
      </c>
      <c r="L7" s="2" t="s">
        <v>39</v>
      </c>
    </row>
    <row r="8">
      <c r="A8" s="2" t="s">
        <v>40</v>
      </c>
      <c r="B8" s="2" t="s">
        <v>41</v>
      </c>
      <c r="C8" s="3">
        <v>45387.0</v>
      </c>
      <c r="D8" s="3">
        <v>45417.0</v>
      </c>
      <c r="E8" s="3">
        <v>45388.0</v>
      </c>
      <c r="F8" s="3">
        <v>45419.0</v>
      </c>
      <c r="G8" s="2">
        <v>30.0</v>
      </c>
      <c r="H8" s="2">
        <v>31.0</v>
      </c>
      <c r="I8" s="4">
        <f>+1</f>
        <v>1</v>
      </c>
      <c r="J8" s="2" t="s">
        <v>42</v>
      </c>
      <c r="K8" s="2" t="s">
        <v>43</v>
      </c>
      <c r="L8" s="2" t="s">
        <v>44</v>
      </c>
    </row>
    <row r="9">
      <c r="A9" s="2" t="s">
        <v>45</v>
      </c>
      <c r="B9" s="2" t="s">
        <v>46</v>
      </c>
      <c r="C9" s="3">
        <v>45376.0</v>
      </c>
      <c r="D9" s="3">
        <v>45390.0</v>
      </c>
      <c r="E9" s="3">
        <v>45376.0</v>
      </c>
      <c r="F9" s="3">
        <v>45392.0</v>
      </c>
      <c r="G9" s="2">
        <v>14.0</v>
      </c>
      <c r="H9" s="2">
        <v>16.0</v>
      </c>
      <c r="I9" s="4">
        <f>+2</f>
        <v>2</v>
      </c>
      <c r="J9" s="2" t="s">
        <v>47</v>
      </c>
      <c r="K9" s="2" t="s">
        <v>48</v>
      </c>
      <c r="L9" s="2" t="s">
        <v>49</v>
      </c>
    </row>
    <row r="10">
      <c r="A10" s="2" t="s">
        <v>50</v>
      </c>
      <c r="B10" s="2" t="s">
        <v>51</v>
      </c>
      <c r="C10" s="3">
        <v>45380.0</v>
      </c>
      <c r="D10" s="3">
        <v>45388.0</v>
      </c>
      <c r="E10" s="3">
        <v>45380.0</v>
      </c>
      <c r="F10" s="3">
        <v>45388.0</v>
      </c>
      <c r="G10" s="2">
        <v>8.0</v>
      </c>
      <c r="H10" s="2">
        <v>8.0</v>
      </c>
      <c r="I10" s="2">
        <v>0.0</v>
      </c>
      <c r="J10" s="2" t="s">
        <v>34</v>
      </c>
      <c r="K10" s="2" t="s">
        <v>34</v>
      </c>
      <c r="L10" s="2" t="s">
        <v>34</v>
      </c>
    </row>
    <row r="11">
      <c r="A11" s="2" t="s">
        <v>52</v>
      </c>
      <c r="B11" s="2" t="s">
        <v>53</v>
      </c>
      <c r="C11" s="3">
        <v>45384.0</v>
      </c>
      <c r="D11" s="3">
        <v>45396.0</v>
      </c>
      <c r="E11" s="3">
        <v>45384.0</v>
      </c>
      <c r="F11" s="3">
        <v>45398.0</v>
      </c>
      <c r="G11" s="2">
        <v>12.0</v>
      </c>
      <c r="H11" s="2">
        <v>14.0</v>
      </c>
      <c r="I11" s="4">
        <f t="shared" ref="I11:I12" si="1">+2</f>
        <v>2</v>
      </c>
      <c r="J11" s="2" t="s">
        <v>54</v>
      </c>
      <c r="K11" s="2" t="s">
        <v>55</v>
      </c>
      <c r="L11" s="2" t="s">
        <v>56</v>
      </c>
    </row>
    <row r="12">
      <c r="A12" s="2" t="s">
        <v>57</v>
      </c>
      <c r="B12" s="2" t="s">
        <v>58</v>
      </c>
      <c r="C12" s="3">
        <v>45392.0</v>
      </c>
      <c r="D12" s="3">
        <v>45404.0</v>
      </c>
      <c r="E12" s="3">
        <v>45392.0</v>
      </c>
      <c r="F12" s="3">
        <v>45406.0</v>
      </c>
      <c r="G12" s="2">
        <v>12.0</v>
      </c>
      <c r="H12" s="2">
        <v>14.0</v>
      </c>
      <c r="I12" s="4">
        <f t="shared" si="1"/>
        <v>2</v>
      </c>
      <c r="J12" s="2" t="s">
        <v>59</v>
      </c>
      <c r="K12" s="2" t="s">
        <v>60</v>
      </c>
      <c r="L12" s="2" t="s">
        <v>61</v>
      </c>
    </row>
    <row r="13">
      <c r="A13" s="2" t="s">
        <v>62</v>
      </c>
      <c r="B13" s="2" t="s">
        <v>63</v>
      </c>
      <c r="C13" s="3">
        <v>45397.0</v>
      </c>
      <c r="D13" s="3">
        <v>45417.0</v>
      </c>
      <c r="E13" s="3">
        <v>45397.0</v>
      </c>
      <c r="F13" s="3">
        <v>45418.0</v>
      </c>
      <c r="G13" s="2">
        <v>20.0</v>
      </c>
      <c r="H13" s="2">
        <v>21.0</v>
      </c>
      <c r="I13" s="4">
        <f t="shared" ref="I13:I16" si="2">+1</f>
        <v>1</v>
      </c>
      <c r="J13" s="2" t="s">
        <v>64</v>
      </c>
      <c r="K13" s="2" t="s">
        <v>65</v>
      </c>
      <c r="L13" s="2" t="s">
        <v>66</v>
      </c>
    </row>
    <row r="14">
      <c r="A14" s="2" t="s">
        <v>67</v>
      </c>
      <c r="B14" s="2" t="s">
        <v>68</v>
      </c>
      <c r="C14" s="3">
        <v>45372.0</v>
      </c>
      <c r="D14" s="3">
        <v>45382.0</v>
      </c>
      <c r="E14" s="3">
        <v>45372.0</v>
      </c>
      <c r="F14" s="3">
        <v>45383.0</v>
      </c>
      <c r="G14" s="2">
        <v>10.0</v>
      </c>
      <c r="H14" s="2">
        <v>11.0</v>
      </c>
      <c r="I14" s="4">
        <f t="shared" si="2"/>
        <v>1</v>
      </c>
      <c r="J14" s="2" t="s">
        <v>69</v>
      </c>
      <c r="K14" s="2" t="s">
        <v>70</v>
      </c>
      <c r="L14" s="2" t="s">
        <v>71</v>
      </c>
    </row>
    <row r="15">
      <c r="A15" s="2" t="s">
        <v>72</v>
      </c>
      <c r="B15" s="2" t="s">
        <v>73</v>
      </c>
      <c r="C15" s="3">
        <v>45397.0</v>
      </c>
      <c r="D15" s="3">
        <v>45412.0</v>
      </c>
      <c r="E15" s="3">
        <v>45398.0</v>
      </c>
      <c r="F15" s="3">
        <v>45414.0</v>
      </c>
      <c r="G15" s="2">
        <v>15.0</v>
      </c>
      <c r="H15" s="2">
        <v>16.0</v>
      </c>
      <c r="I15" s="4">
        <f t="shared" si="2"/>
        <v>1</v>
      </c>
      <c r="J15" s="2" t="s">
        <v>74</v>
      </c>
      <c r="K15" s="2" t="s">
        <v>75</v>
      </c>
      <c r="L15" s="2" t="s">
        <v>76</v>
      </c>
    </row>
    <row r="16">
      <c r="A16" s="2" t="s">
        <v>77</v>
      </c>
      <c r="B16" s="2" t="s">
        <v>78</v>
      </c>
      <c r="C16" s="3">
        <v>45402.0</v>
      </c>
      <c r="D16" s="3">
        <v>45410.0</v>
      </c>
      <c r="E16" s="3">
        <v>45402.0</v>
      </c>
      <c r="F16" s="3">
        <v>45411.0</v>
      </c>
      <c r="G16" s="2">
        <v>8.0</v>
      </c>
      <c r="H16" s="2">
        <v>9.0</v>
      </c>
      <c r="I16" s="4">
        <f t="shared" si="2"/>
        <v>1</v>
      </c>
      <c r="J16" s="2" t="s">
        <v>79</v>
      </c>
      <c r="K16" s="2" t="s">
        <v>80</v>
      </c>
      <c r="L16" s="2" t="s">
        <v>81</v>
      </c>
    </row>
    <row r="17">
      <c r="A17" s="2" t="s">
        <v>82</v>
      </c>
      <c r="B17" s="2" t="s">
        <v>83</v>
      </c>
      <c r="C17" s="3">
        <v>45404.0</v>
      </c>
      <c r="D17" s="3">
        <v>45414.0</v>
      </c>
      <c r="E17" s="3">
        <v>45404.0</v>
      </c>
      <c r="F17" s="3">
        <v>45416.0</v>
      </c>
      <c r="G17" s="2">
        <v>10.0</v>
      </c>
      <c r="H17" s="2">
        <v>12.0</v>
      </c>
      <c r="I17" s="4">
        <f>+2</f>
        <v>2</v>
      </c>
      <c r="J17" s="2" t="s">
        <v>84</v>
      </c>
      <c r="K17" s="2" t="s">
        <v>85</v>
      </c>
      <c r="L17" s="2" t="s">
        <v>86</v>
      </c>
    </row>
    <row r="18">
      <c r="A18" s="2" t="s">
        <v>87</v>
      </c>
      <c r="B18" s="2" t="s">
        <v>88</v>
      </c>
      <c r="C18" s="3">
        <v>45407.0</v>
      </c>
      <c r="D18" s="3">
        <v>45421.0</v>
      </c>
      <c r="E18" s="3">
        <v>45407.0</v>
      </c>
      <c r="F18" s="3">
        <v>45422.0</v>
      </c>
      <c r="G18" s="2">
        <v>14.0</v>
      </c>
      <c r="H18" s="2">
        <v>15.0</v>
      </c>
      <c r="I18" s="4">
        <f t="shared" ref="I18:I21" si="3">+1</f>
        <v>1</v>
      </c>
      <c r="J18" s="2" t="s">
        <v>89</v>
      </c>
      <c r="K18" s="2" t="s">
        <v>90</v>
      </c>
      <c r="L18" s="2" t="s">
        <v>91</v>
      </c>
    </row>
    <row r="19">
      <c r="A19" s="2" t="s">
        <v>92</v>
      </c>
      <c r="B19" s="2" t="s">
        <v>93</v>
      </c>
      <c r="C19" s="3">
        <v>45413.0</v>
      </c>
      <c r="D19" s="3">
        <v>45425.0</v>
      </c>
      <c r="E19" s="3">
        <v>45413.0</v>
      </c>
      <c r="F19" s="3">
        <v>45426.0</v>
      </c>
      <c r="G19" s="2">
        <v>12.0</v>
      </c>
      <c r="H19" s="2">
        <v>13.0</v>
      </c>
      <c r="I19" s="4">
        <f t="shared" si="3"/>
        <v>1</v>
      </c>
      <c r="J19" s="2" t="s">
        <v>94</v>
      </c>
      <c r="K19" s="2" t="s">
        <v>95</v>
      </c>
      <c r="L19" s="2" t="s">
        <v>96</v>
      </c>
    </row>
    <row r="20">
      <c r="A20" s="2" t="s">
        <v>97</v>
      </c>
      <c r="B20" s="2" t="s">
        <v>98</v>
      </c>
      <c r="C20" s="3">
        <v>45453.0</v>
      </c>
      <c r="D20" s="3">
        <v>45467.0</v>
      </c>
      <c r="E20" s="3">
        <v>45453.0</v>
      </c>
      <c r="F20" s="3">
        <v>45468.0</v>
      </c>
      <c r="G20" s="2">
        <v>14.0</v>
      </c>
      <c r="H20" s="2">
        <v>15.0</v>
      </c>
      <c r="I20" s="4">
        <f t="shared" si="3"/>
        <v>1</v>
      </c>
      <c r="J20" s="2" t="s">
        <v>99</v>
      </c>
      <c r="K20" s="2" t="s">
        <v>100</v>
      </c>
      <c r="L20" s="2" t="s">
        <v>101</v>
      </c>
    </row>
    <row r="21">
      <c r="A21" s="2" t="s">
        <v>102</v>
      </c>
      <c r="B21" s="2" t="s">
        <v>103</v>
      </c>
      <c r="C21" s="3">
        <v>45468.0</v>
      </c>
      <c r="D21" s="3">
        <v>45482.0</v>
      </c>
      <c r="E21" s="3">
        <v>45468.0</v>
      </c>
      <c r="F21" s="3">
        <v>45483.0</v>
      </c>
      <c r="G21" s="2">
        <v>14.0</v>
      </c>
      <c r="H21" s="2">
        <v>15.0</v>
      </c>
      <c r="I21" s="4">
        <f t="shared" si="3"/>
        <v>1</v>
      </c>
      <c r="J21" s="2" t="s">
        <v>104</v>
      </c>
      <c r="K21" s="2" t="s">
        <v>105</v>
      </c>
      <c r="L21" s="2" t="s">
        <v>106</v>
      </c>
    </row>
    <row r="22">
      <c r="A22" s="2" t="s">
        <v>107</v>
      </c>
      <c r="B22" s="2" t="s">
        <v>108</v>
      </c>
      <c r="C22" s="3">
        <v>45483.0</v>
      </c>
      <c r="D22" s="3">
        <v>45501.0</v>
      </c>
      <c r="E22" s="3">
        <v>45483.0</v>
      </c>
      <c r="F22" s="3">
        <v>45503.0</v>
      </c>
      <c r="G22" s="2">
        <v>18.0</v>
      </c>
      <c r="H22" s="2">
        <v>20.0</v>
      </c>
      <c r="I22" s="4">
        <f>+2</f>
        <v>2</v>
      </c>
      <c r="J22" s="2" t="s">
        <v>109</v>
      </c>
      <c r="K22" s="2" t="s">
        <v>110</v>
      </c>
      <c r="L22" s="2" t="s">
        <v>111</v>
      </c>
    </row>
    <row r="23">
      <c r="A23" s="2" t="s">
        <v>112</v>
      </c>
      <c r="B23" s="2" t="s">
        <v>113</v>
      </c>
      <c r="C23" s="3">
        <v>45488.0</v>
      </c>
      <c r="D23" s="3">
        <v>45502.0</v>
      </c>
      <c r="E23" s="3">
        <v>45489.0</v>
      </c>
      <c r="F23" s="3">
        <v>45504.0</v>
      </c>
      <c r="G23" s="2">
        <v>14.0</v>
      </c>
      <c r="H23" s="2">
        <v>15.0</v>
      </c>
      <c r="I23" s="4">
        <f>+1</f>
        <v>1</v>
      </c>
      <c r="J23" s="2" t="s">
        <v>114</v>
      </c>
      <c r="K23" s="2" t="s">
        <v>115</v>
      </c>
      <c r="L23" s="2" t="s">
        <v>116</v>
      </c>
    </row>
    <row r="24">
      <c r="A24" s="2" t="s">
        <v>117</v>
      </c>
      <c r="B24" s="2" t="s">
        <v>118</v>
      </c>
      <c r="C24" s="3">
        <v>45503.0</v>
      </c>
      <c r="D24" s="3">
        <v>45514.0</v>
      </c>
      <c r="E24" s="3">
        <v>45503.0</v>
      </c>
      <c r="F24" s="3">
        <v>45515.0</v>
      </c>
      <c r="G24" s="2">
        <v>10.0</v>
      </c>
      <c r="H24" s="2">
        <v>12.0</v>
      </c>
      <c r="I24" s="4">
        <f>+2</f>
        <v>2</v>
      </c>
      <c r="J24" s="2" t="s">
        <v>119</v>
      </c>
      <c r="K24" s="2" t="s">
        <v>120</v>
      </c>
      <c r="L24" s="2" t="s">
        <v>121</v>
      </c>
    </row>
    <row r="25">
      <c r="A25" s="2" t="s">
        <v>122</v>
      </c>
      <c r="B25" s="2" t="s">
        <v>123</v>
      </c>
      <c r="C25" s="3">
        <v>45505.0</v>
      </c>
      <c r="D25" s="3">
        <v>45517.0</v>
      </c>
      <c r="E25" s="3">
        <v>45506.0</v>
      </c>
      <c r="F25" s="3">
        <v>45519.0</v>
      </c>
      <c r="G25" s="2">
        <v>12.0</v>
      </c>
      <c r="H25" s="2">
        <v>13.0</v>
      </c>
      <c r="I25" s="4">
        <f t="shared" ref="I25:I26" si="4">+1</f>
        <v>1</v>
      </c>
      <c r="J25" s="2" t="s">
        <v>124</v>
      </c>
      <c r="K25" s="2" t="s">
        <v>125</v>
      </c>
      <c r="L25" s="2" t="s">
        <v>126</v>
      </c>
    </row>
    <row r="26">
      <c r="A26" s="2" t="s">
        <v>127</v>
      </c>
      <c r="B26" s="2" t="s">
        <v>128</v>
      </c>
      <c r="C26" s="3">
        <v>45514.0</v>
      </c>
      <c r="D26" s="3">
        <v>45528.0</v>
      </c>
      <c r="E26" s="3">
        <v>45515.0</v>
      </c>
      <c r="F26" s="3">
        <v>45529.0</v>
      </c>
      <c r="G26" s="2">
        <v>14.0</v>
      </c>
      <c r="H26" s="2">
        <v>15.0</v>
      </c>
      <c r="I26" s="4">
        <f t="shared" si="4"/>
        <v>1</v>
      </c>
      <c r="J26" s="2" t="s">
        <v>129</v>
      </c>
      <c r="K26" s="2" t="s">
        <v>130</v>
      </c>
      <c r="L26" s="2" t="s">
        <v>131</v>
      </c>
    </row>
  </sheetData>
  <drawing r:id="rId1"/>
</worksheet>
</file>